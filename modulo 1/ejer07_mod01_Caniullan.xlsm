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lor\OneDrive\Documentos\Análisis de Datos\M1 - Fundamentos del Trabajo de Datos con Excel\Aprendizaje Esperado 7\"/>
    </mc:Choice>
  </mc:AlternateContent>
  <xr:revisionPtr revIDLastSave="0" documentId="13_ncr:1_{DC45AA44-1ED5-4355-91E6-732D0C230017}" xr6:coauthVersionLast="47" xr6:coauthVersionMax="47" xr10:uidLastSave="{00000000-0000-0000-0000-000000000000}"/>
  <bookViews>
    <workbookView xWindow="-110" yWindow="-110" windowWidth="19420" windowHeight="10300" xr2:uid="{ACDEA3EB-9787-4683-971D-D5204AC82A6E}"/>
  </bookViews>
  <sheets>
    <sheet name="Formulario" sheetId="1" r:id="rId1"/>
    <sheet name="Datos" sheetId="3" r:id="rId2"/>
    <sheet name="Hoja2" sheetId="2" state="hidden" r:id="rId3"/>
  </sheets>
  <definedNames>
    <definedName name="Dato1">Formulario!$D$7</definedName>
    <definedName name="Dato2">Formulario!$D$8</definedName>
    <definedName name="Dato3">Formulario!$D$9</definedName>
    <definedName name="Dato4">Formulario!$D$11</definedName>
    <definedName name="Dato5">Formulario!$D$12</definedName>
    <definedName name="Dato6">Formulario!$D$13</definedName>
    <definedName name="Dato7">Formulario!$D$14</definedName>
    <definedName name="Dato8">Formulario!$D$15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3" l="1"/>
  <c r="D3" i="1"/>
  <c r="D4" i="1"/>
  <c r="D10" i="1" s="1"/>
</calcChain>
</file>

<file path=xl/sharedStrings.xml><?xml version="1.0" encoding="utf-8"?>
<sst xmlns="http://schemas.openxmlformats.org/spreadsheetml/2006/main" count="139" uniqueCount="86">
  <si>
    <t>FORMULARIO DE INGRESO PARA EMPLEADOS</t>
  </si>
  <si>
    <t>N° Empleado</t>
  </si>
  <si>
    <t>Información Personal</t>
  </si>
  <si>
    <t>Nombres</t>
  </si>
  <si>
    <t>Apellidos</t>
  </si>
  <si>
    <t>Fecha de Nacimiento</t>
  </si>
  <si>
    <t>Edad</t>
  </si>
  <si>
    <t>Sexo</t>
  </si>
  <si>
    <t>Estado Civil</t>
  </si>
  <si>
    <t>Mail</t>
  </si>
  <si>
    <t>Celular</t>
  </si>
  <si>
    <t>Sueldo Base</t>
  </si>
  <si>
    <t>M</t>
  </si>
  <si>
    <t>F</t>
  </si>
  <si>
    <t>Soltero(a)</t>
  </si>
  <si>
    <t>Casado(a)</t>
  </si>
  <si>
    <t>Separado(a)</t>
  </si>
  <si>
    <t>Viudo(a)</t>
  </si>
  <si>
    <t>Sueldo</t>
  </si>
  <si>
    <t>Fecha de Ingreso</t>
  </si>
  <si>
    <t>N° de Empleado</t>
  </si>
  <si>
    <t>LISTADO DE EMPLEADOS</t>
  </si>
  <si>
    <t>Juan Carlos</t>
  </si>
  <si>
    <t>Ana Paulina</t>
  </si>
  <si>
    <t>Cortés Espinoza</t>
  </si>
  <si>
    <t>anacortes@mail.com</t>
  </si>
  <si>
    <t>Luis Esteban</t>
  </si>
  <si>
    <t>García Castro</t>
  </si>
  <si>
    <t>luisgarcia@mail.com</t>
  </si>
  <si>
    <t>María Jesús</t>
  </si>
  <si>
    <t>Suárez Cid</t>
  </si>
  <si>
    <t>mariasuarez@mail.com</t>
  </si>
  <si>
    <t xml:space="preserve">Sol </t>
  </si>
  <si>
    <t>Hernández Pérez</t>
  </si>
  <si>
    <t>solhernandez@mail.com</t>
  </si>
  <si>
    <t>Martín Jesús</t>
  </si>
  <si>
    <t>Torres Ast</t>
  </si>
  <si>
    <t>martintorres@mail.com</t>
  </si>
  <si>
    <t>Campos Silva</t>
  </si>
  <si>
    <t>juancampos@mail.com</t>
  </si>
  <si>
    <t>José Antonio</t>
  </si>
  <si>
    <t>Alvarado Guerrero</t>
  </si>
  <si>
    <t>josealvarado@mail.com</t>
  </si>
  <si>
    <t>Carmen Isabel</t>
  </si>
  <si>
    <t>Farías Jara</t>
  </si>
  <si>
    <t>carmenfarias@mail.com</t>
  </si>
  <si>
    <t>María Teresa</t>
  </si>
  <si>
    <t>Donoso Rojas</t>
  </si>
  <si>
    <t>mariadonoso@mail.com</t>
  </si>
  <si>
    <t>Alejandro Manuel</t>
  </si>
  <si>
    <t>Muñoz Medina</t>
  </si>
  <si>
    <t>alejandromunoz@mail.com</t>
  </si>
  <si>
    <t xml:space="preserve">Lucía del Carmen </t>
  </si>
  <si>
    <t>Poblete Pino</t>
  </si>
  <si>
    <t>luciapoblete@mail.com</t>
  </si>
  <si>
    <t>Miguel Ángel</t>
  </si>
  <si>
    <t>Toro Carvajal</t>
  </si>
  <si>
    <t>migueltoro@mail.com</t>
  </si>
  <si>
    <t>Antonia Paz</t>
  </si>
  <si>
    <t>Bustos Quezada</t>
  </si>
  <si>
    <t>antoniabustos@mail.com</t>
  </si>
  <si>
    <t>Rafael Alberto</t>
  </si>
  <si>
    <t>Cárdenas Godoy</t>
  </si>
  <si>
    <t>rafaelcardenas@mail.com</t>
  </si>
  <si>
    <t>María Luisa</t>
  </si>
  <si>
    <t>Valdés Lagos</t>
  </si>
  <si>
    <t>mariavaldez@mail.com</t>
  </si>
  <si>
    <t>Pilar de Jesús</t>
  </si>
  <si>
    <t>Leiva Sáez</t>
  </si>
  <si>
    <t>pilarleiva@mail.com</t>
  </si>
  <si>
    <t>Francisco Javier</t>
  </si>
  <si>
    <t>Peña Saavedra</t>
  </si>
  <si>
    <t>franciscopena@mail.com</t>
  </si>
  <si>
    <t>Orlando Antonio</t>
  </si>
  <si>
    <t>Guzmán Pizarro</t>
  </si>
  <si>
    <t>orlandoguzman@mail.com</t>
  </si>
  <si>
    <t>Marta Ivonne</t>
  </si>
  <si>
    <t>Romero Arriagada</t>
  </si>
  <si>
    <t>martaromero@mail.com</t>
  </si>
  <si>
    <t>Ángel Pedro</t>
  </si>
  <si>
    <t>angelgallardo@mail.com</t>
  </si>
  <si>
    <t>Gallardo Ortiz</t>
  </si>
  <si>
    <t>Sueldo Total =</t>
  </si>
  <si>
    <t>María Ester</t>
  </si>
  <si>
    <t>Pérez Espinoza</t>
  </si>
  <si>
    <t>mariaperez@mail.com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</si>
</sst>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rgb="FF289C8C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289C8C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rgb="FFD9D9D9"/>
      </bottom>
      <diagonal/>
    </border>
    <border>
      <left/>
      <right style="double">
        <color auto="1"/>
      </right>
      <top style="double">
        <color rgb="FFD9D9D9"/>
      </top>
      <bottom style="double">
        <color rgb="FFD9D9D9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4" xfId="0" applyBorder="1"/>
    <xf numFmtId="14" fontId="0" fillId="0" borderId="4" xfId="0" applyNumberForma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4" borderId="4" xfId="0" applyFill="1" applyBorder="1"/>
    <xf numFmtId="0" fontId="0" fillId="4" borderId="9" xfId="0" applyFill="1" applyBorder="1"/>
    <xf numFmtId="0" fontId="0" fillId="4" borderId="0" xfId="0" applyFill="1"/>
    <xf numFmtId="0" fontId="0" fillId="4" borderId="12" xfId="0" applyFill="1" applyBorder="1"/>
    <xf numFmtId="0" fontId="3" fillId="3" borderId="4" xfId="0" applyFont="1" applyFill="1" applyBorder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49" fontId="0" fillId="0" borderId="20" xfId="0" applyNumberFormat="1" applyBorder="1" applyAlignment="1">
      <alignment horizontal="right"/>
    </xf>
    <xf numFmtId="49" fontId="0" fillId="0" borderId="19" xfId="0" applyNumberFormat="1" applyBorder="1" applyAlignment="1">
      <alignment horizontal="right"/>
    </xf>
    <xf numFmtId="14" fontId="0" fillId="0" borderId="20" xfId="0" applyNumberFormat="1" applyBorder="1" applyAlignment="1">
      <alignment horizontal="right"/>
    </xf>
    <xf numFmtId="1" fontId="0" fillId="0" borderId="20" xfId="0" applyNumberFormat="1" applyBorder="1" applyAlignment="1">
      <alignment horizontal="right"/>
    </xf>
    <xf numFmtId="14" fontId="5" fillId="0" borderId="20" xfId="1" applyNumberFormat="1" applyBorder="1" applyAlignment="1">
      <alignment horizontal="right"/>
    </xf>
    <xf numFmtId="0" fontId="0" fillId="0" borderId="20" xfId="0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5" borderId="0" xfId="0" applyFill="1"/>
    <xf numFmtId="0" fontId="6" fillId="5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4" fillId="4" borderId="21" xfId="0" applyFont="1" applyFill="1" applyBorder="1" applyAlignment="1">
      <alignment horizontal="center" vertical="center" wrapText="1"/>
    </xf>
    <xf numFmtId="164" fontId="0" fillId="0" borderId="3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9C8C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289C8C"/>
      <color rgb="FF0070C0"/>
      <color rgb="FFD9D9D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16</xdr:row>
          <xdr:rowOff>107950</xdr:rowOff>
        </xdr:from>
        <xdr:to>
          <xdr:col>3</xdr:col>
          <xdr:colOff>241300</xdr:colOff>
          <xdr:row>18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16</xdr:row>
          <xdr:rowOff>107950</xdr:rowOff>
        </xdr:from>
        <xdr:to>
          <xdr:col>3</xdr:col>
          <xdr:colOff>2139950</xdr:colOff>
          <xdr:row>18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Ingresar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2F4531-D69F-4078-B3F6-9ADF0CE8C220}" name="Tabla2" displayName="Tabla2" ref="B3:L24" totalsRowShown="0" headerRowDxfId="12" dataDxfId="11">
  <autoFilter ref="B3:L24" xr:uid="{FB2F4531-D69F-4078-B3F6-9ADF0CE8C220}"/>
  <tableColumns count="11">
    <tableColumn id="1" xr3:uid="{F40BC826-CC25-4CE3-ADD9-00B20C9A37D0}" name="N° de Empleado" dataDxfId="10"/>
    <tableColumn id="2" xr3:uid="{9579C480-4D90-444A-AE5D-2909861DE8E7}" name="Fecha de Ingreso" dataDxfId="9"/>
    <tableColumn id="3" xr3:uid="{1626E828-321A-4413-921C-B614414E1DB9}" name="Nombres" dataDxfId="8"/>
    <tableColumn id="4" xr3:uid="{4DCD7A57-58DC-49DC-9DBC-5CC0F5FC8334}" name="Apellidos" dataDxfId="7"/>
    <tableColumn id="5" xr3:uid="{51F4BAC3-8451-4DDA-8A27-4FE460A40033}" name="Fecha de Nacimiento" dataDxfId="6"/>
    <tableColumn id="6" xr3:uid="{B248DA02-B379-4D24-AFCC-F0373A52B14B}" name="Edad" dataDxfId="5"/>
    <tableColumn id="7" xr3:uid="{67C1AD60-1CAC-491D-B81D-BCDA61CB35EE}" name="Sexo" dataDxfId="4"/>
    <tableColumn id="8" xr3:uid="{62478061-2049-403B-BAEF-8EFBBD9671B3}" name="Estado Civil" dataDxfId="3"/>
    <tableColumn id="9" xr3:uid="{A3B40970-ACF7-4508-B5C4-04F29CC12D3A}" name="Mail" dataDxfId="2"/>
    <tableColumn id="10" xr3:uid="{AF4E858C-1DCD-4D53-A5B3-CFAE4A664D13}" name="Celular" dataDxfId="1"/>
    <tableColumn id="11" xr3:uid="{7F64F7C1-B663-42A1-ABE2-CBF988985383}" name="Suel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DC19B-1563-4A17-9647-0B5DD72CCAA8}">
  <sheetPr codeName="Hoja1"/>
  <dimension ref="A1:E20"/>
  <sheetViews>
    <sheetView showGridLines="0" tabSelected="1" workbookViewId="0">
      <selection activeCell="D7" sqref="D7"/>
    </sheetView>
  </sheetViews>
  <sheetFormatPr baseColWidth="10" defaultColWidth="0" defaultRowHeight="14.5" zeroHeight="1" x14ac:dyDescent="0.35"/>
  <cols>
    <col min="1" max="1" width="3.81640625" customWidth="1"/>
    <col min="2" max="2" width="19.6328125" customWidth="1"/>
    <col min="3" max="3" width="1.81640625" customWidth="1"/>
    <col min="4" max="4" width="34.26953125" customWidth="1"/>
    <col min="5" max="5" width="10.90625" customWidth="1"/>
    <col min="6" max="16384" width="10.90625" hidden="1"/>
  </cols>
  <sheetData>
    <row r="1" spans="2:4" ht="15" thickBot="1" x14ac:dyDescent="0.4">
      <c r="B1" s="35" t="s">
        <v>0</v>
      </c>
      <c r="C1" s="36"/>
      <c r="D1" s="37"/>
    </row>
    <row r="2" spans="2:4" x14ac:dyDescent="0.35"/>
    <row r="3" spans="2:4" x14ac:dyDescent="0.35">
      <c r="B3" s="10" t="s">
        <v>1</v>
      </c>
      <c r="C3" s="6"/>
      <c r="D3" s="1">
        <f>+COUNTA(Datos!$B$3:B1048576)</f>
        <v>22</v>
      </c>
    </row>
    <row r="4" spans="2:4" x14ac:dyDescent="0.35">
      <c r="B4" s="10" t="s">
        <v>19</v>
      </c>
      <c r="C4" s="6"/>
      <c r="D4" s="2">
        <f ca="1">+TODAY()</f>
        <v>45022</v>
      </c>
    </row>
    <row r="5" spans="2:4" ht="15" thickBot="1" x14ac:dyDescent="0.4"/>
    <row r="6" spans="2:4" ht="15" thickBot="1" x14ac:dyDescent="0.4">
      <c r="B6" s="38" t="s">
        <v>2</v>
      </c>
      <c r="C6" s="39"/>
      <c r="D6" s="40"/>
    </row>
    <row r="7" spans="2:4" ht="15.5" thickTop="1" thickBot="1" x14ac:dyDescent="0.4">
      <c r="B7" s="3" t="s">
        <v>3</v>
      </c>
      <c r="C7" s="7"/>
      <c r="D7" s="14"/>
    </row>
    <row r="8" spans="2:4" ht="15.5" thickTop="1" thickBot="1" x14ac:dyDescent="0.4">
      <c r="B8" s="4" t="s">
        <v>4</v>
      </c>
      <c r="C8" s="8"/>
      <c r="D8" s="13"/>
    </row>
    <row r="9" spans="2:4" ht="15.5" thickTop="1" thickBot="1" x14ac:dyDescent="0.4">
      <c r="B9" s="4" t="s">
        <v>5</v>
      </c>
      <c r="C9" s="8"/>
      <c r="D9" s="15"/>
    </row>
    <row r="10" spans="2:4" ht="15.5" thickTop="1" thickBot="1" x14ac:dyDescent="0.4">
      <c r="B10" s="4" t="s">
        <v>6</v>
      </c>
      <c r="C10" s="8"/>
      <c r="D10" s="16" t="str">
        <f>IF(D9&gt;0,DATEDIF(D9,D4,"Y"),"")</f>
        <v/>
      </c>
    </row>
    <row r="11" spans="2:4" ht="15.5" thickTop="1" thickBot="1" x14ac:dyDescent="0.4">
      <c r="B11" s="4" t="s">
        <v>7</v>
      </c>
      <c r="C11" s="8"/>
      <c r="D11" s="13"/>
    </row>
    <row r="12" spans="2:4" ht="15.5" thickTop="1" thickBot="1" x14ac:dyDescent="0.4">
      <c r="B12" s="4" t="s">
        <v>8</v>
      </c>
      <c r="C12" s="8"/>
      <c r="D12" s="13"/>
    </row>
    <row r="13" spans="2:4" ht="15.5" thickTop="1" thickBot="1" x14ac:dyDescent="0.4">
      <c r="B13" s="4" t="s">
        <v>9</v>
      </c>
      <c r="C13" s="8"/>
      <c r="D13" s="17"/>
    </row>
    <row r="14" spans="2:4" ht="15.5" thickTop="1" thickBot="1" x14ac:dyDescent="0.4">
      <c r="B14" s="4" t="s">
        <v>10</v>
      </c>
      <c r="C14" s="8"/>
      <c r="D14" s="18"/>
    </row>
    <row r="15" spans="2:4" ht="15.5" thickTop="1" thickBot="1" x14ac:dyDescent="0.4">
      <c r="B15" s="5" t="s">
        <v>11</v>
      </c>
      <c r="C15" s="9"/>
      <c r="D15" s="19"/>
    </row>
    <row r="16" spans="2:4" ht="15.5" thickTop="1" thickBot="1" x14ac:dyDescent="0.4"/>
    <row r="17" spans="2:4" x14ac:dyDescent="0.35">
      <c r="B17" s="41"/>
      <c r="C17" s="42"/>
      <c r="D17" s="43"/>
    </row>
    <row r="18" spans="2:4" x14ac:dyDescent="0.35">
      <c r="B18" s="44"/>
      <c r="C18" s="45"/>
      <c r="D18" s="46"/>
    </row>
    <row r="19" spans="2:4" ht="15" thickBot="1" x14ac:dyDescent="0.4">
      <c r="B19" s="47"/>
      <c r="C19" s="48"/>
      <c r="D19" s="49"/>
    </row>
    <row r="20" spans="2:4" x14ac:dyDescent="0.35"/>
  </sheetData>
  <mergeCells count="3">
    <mergeCell ref="B1:D1"/>
    <mergeCell ref="B6:D6"/>
    <mergeCell ref="B17:D19"/>
  </mergeCells>
  <dataValidations count="1">
    <dataValidation type="whole" allowBlank="1" showInputMessage="1" showErrorMessage="1" errorTitle="Número no válido" error="El valor debe ser entero." sqref="D15" xr:uid="{1217E5B6-9227-496F-BBF3-44C2D7D9C48F}">
      <formula1>1</formula1>
      <formula2>99999999999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mpiarFormulario">
                <anchor moveWithCells="1">
                  <from>
                    <xdr:col>1</xdr:col>
                    <xdr:colOff>285750</xdr:colOff>
                    <xdr:row>16</xdr:row>
                    <xdr:rowOff>107950</xdr:rowOff>
                  </from>
                  <to>
                    <xdr:col>3</xdr:col>
                    <xdr:colOff>241300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gresarRegistro">
                <anchor moveWithCells="1">
                  <from>
                    <xdr:col>3</xdr:col>
                    <xdr:colOff>685800</xdr:colOff>
                    <xdr:row>16</xdr:row>
                    <xdr:rowOff>107950</xdr:rowOff>
                  </from>
                  <to>
                    <xdr:col>3</xdr:col>
                    <xdr:colOff>2139950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79E66D5-A000-46DD-AE3F-F513D72F712F}">
          <x14:formula1>
            <xm:f>Hoja2!$A$2:$A$3</xm:f>
          </x14:formula1>
          <xm:sqref>D11</xm:sqref>
        </x14:dataValidation>
        <x14:dataValidation type="list" allowBlank="1" showInputMessage="1" showErrorMessage="1" xr:uid="{3065C4BF-CF25-4AE1-9B5B-3A3897D4CAC7}">
          <x14:formula1>
            <xm:f>Hoja2!$B$2:$B$5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295C-0BAE-4F34-A28C-8FAB72320052}">
  <sheetPr codeName="Hoja3"/>
  <dimension ref="A1:N26"/>
  <sheetViews>
    <sheetView workbookViewId="0">
      <selection activeCell="B4" sqref="B4"/>
    </sheetView>
  </sheetViews>
  <sheetFormatPr baseColWidth="10" defaultColWidth="0" defaultRowHeight="14.5" x14ac:dyDescent="0.35"/>
  <cols>
    <col min="1" max="1" width="10.90625" customWidth="1"/>
    <col min="2" max="2" width="16.1796875" customWidth="1"/>
    <col min="3" max="3" width="16.81640625" customWidth="1"/>
    <col min="4" max="4" width="20.54296875" customWidth="1"/>
    <col min="5" max="5" width="17.6328125" customWidth="1"/>
    <col min="6" max="6" width="20.1796875" customWidth="1"/>
    <col min="7" max="7" width="7" customWidth="1"/>
    <col min="8" max="8" width="6.7265625" customWidth="1"/>
    <col min="9" max="9" width="12.36328125" customWidth="1"/>
    <col min="10" max="10" width="23.54296875" bestFit="1" customWidth="1"/>
    <col min="11" max="11" width="13.453125" customWidth="1"/>
    <col min="12" max="12" width="11.90625" customWidth="1"/>
    <col min="13" max="13" width="10.90625" customWidth="1"/>
    <col min="14" max="14" width="0" hidden="1" customWidth="1"/>
    <col min="15" max="16384" width="10.90625" hidden="1"/>
  </cols>
  <sheetData>
    <row r="1" spans="1:13" s="20" customFormat="1" x14ac:dyDescent="0.35">
      <c r="A1"/>
      <c r="B1" s="50" t="s">
        <v>21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23"/>
    </row>
    <row r="2" spans="1:13" s="20" customFormat="1" x14ac:dyDescent="0.35">
      <c r="A2"/>
      <c r="B2"/>
      <c r="C2"/>
      <c r="D2"/>
      <c r="E2"/>
      <c r="F2"/>
      <c r="G2"/>
      <c r="H2"/>
      <c r="I2"/>
      <c r="J2"/>
      <c r="K2"/>
      <c r="L2"/>
    </row>
    <row r="3" spans="1:13" s="12" customFormat="1" x14ac:dyDescent="0.35">
      <c r="A3" s="22"/>
      <c r="B3" s="11" t="s">
        <v>20</v>
      </c>
      <c r="C3" s="11" t="s">
        <v>19</v>
      </c>
      <c r="D3" s="11" t="s">
        <v>3</v>
      </c>
      <c r="E3" s="11" t="s">
        <v>4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18</v>
      </c>
      <c r="M3" s="24"/>
    </row>
    <row r="4" spans="1:13" s="21" customFormat="1" x14ac:dyDescent="0.35">
      <c r="A4" s="29"/>
      <c r="B4" s="30">
        <v>21</v>
      </c>
      <c r="C4" s="31">
        <v>45022</v>
      </c>
      <c r="D4" s="29" t="s">
        <v>83</v>
      </c>
      <c r="E4" s="29" t="s">
        <v>84</v>
      </c>
      <c r="F4" s="31">
        <v>30113</v>
      </c>
      <c r="G4" s="29">
        <v>40</v>
      </c>
      <c r="H4" s="29" t="s">
        <v>13</v>
      </c>
      <c r="I4" s="29" t="s">
        <v>14</v>
      </c>
      <c r="J4" s="29" t="s">
        <v>85</v>
      </c>
      <c r="K4" s="29">
        <v>921212121</v>
      </c>
      <c r="L4" s="32">
        <v>3560000</v>
      </c>
    </row>
    <row r="5" spans="1:13" s="21" customFormat="1" x14ac:dyDescent="0.35">
      <c r="A5" s="29"/>
      <c r="B5" s="30">
        <v>20</v>
      </c>
      <c r="C5" s="31">
        <v>45022</v>
      </c>
      <c r="D5" s="29" t="s">
        <v>79</v>
      </c>
      <c r="E5" s="29" t="s">
        <v>81</v>
      </c>
      <c r="F5" s="31">
        <v>34227</v>
      </c>
      <c r="G5" s="29">
        <v>29</v>
      </c>
      <c r="H5" s="29" t="s">
        <v>12</v>
      </c>
      <c r="I5" s="29" t="s">
        <v>15</v>
      </c>
      <c r="J5" s="29" t="s">
        <v>80</v>
      </c>
      <c r="K5" s="29">
        <v>920202020</v>
      </c>
      <c r="L5" s="32">
        <v>1348500</v>
      </c>
    </row>
    <row r="6" spans="1:13" s="21" customFormat="1" x14ac:dyDescent="0.35">
      <c r="A6" s="29"/>
      <c r="B6" s="30">
        <v>19</v>
      </c>
      <c r="C6" s="31">
        <v>45022</v>
      </c>
      <c r="D6" s="29" t="s">
        <v>76</v>
      </c>
      <c r="E6" s="29" t="s">
        <v>77</v>
      </c>
      <c r="F6" s="31">
        <v>28769</v>
      </c>
      <c r="G6" s="29">
        <v>44</v>
      </c>
      <c r="H6" s="29" t="s">
        <v>13</v>
      </c>
      <c r="I6" s="29" t="s">
        <v>15</v>
      </c>
      <c r="J6" s="29" t="s">
        <v>78</v>
      </c>
      <c r="K6" s="29">
        <v>919191919</v>
      </c>
      <c r="L6" s="32">
        <v>2678000</v>
      </c>
    </row>
    <row r="7" spans="1:13" s="21" customFormat="1" x14ac:dyDescent="0.35">
      <c r="A7" s="29"/>
      <c r="B7" s="30">
        <v>18</v>
      </c>
      <c r="C7" s="31">
        <v>45022</v>
      </c>
      <c r="D7" s="29" t="s">
        <v>73</v>
      </c>
      <c r="E7" s="29" t="s">
        <v>74</v>
      </c>
      <c r="F7" s="31">
        <v>27277</v>
      </c>
      <c r="G7" s="29">
        <v>48</v>
      </c>
      <c r="H7" s="29" t="s">
        <v>12</v>
      </c>
      <c r="I7" s="29" t="s">
        <v>15</v>
      </c>
      <c r="J7" s="29" t="s">
        <v>75</v>
      </c>
      <c r="K7" s="29">
        <v>918181818</v>
      </c>
      <c r="L7" s="32">
        <v>2890000</v>
      </c>
    </row>
    <row r="8" spans="1:13" s="21" customFormat="1" x14ac:dyDescent="0.35">
      <c r="A8" s="29"/>
      <c r="B8" s="30">
        <v>17</v>
      </c>
      <c r="C8" s="31">
        <v>45022</v>
      </c>
      <c r="D8" s="29" t="s">
        <v>70</v>
      </c>
      <c r="E8" s="29" t="s">
        <v>71</v>
      </c>
      <c r="F8" s="31">
        <v>29435</v>
      </c>
      <c r="G8" s="29">
        <v>42</v>
      </c>
      <c r="H8" s="29" t="s">
        <v>12</v>
      </c>
      <c r="I8" s="29" t="s">
        <v>14</v>
      </c>
      <c r="J8" s="29" t="s">
        <v>72</v>
      </c>
      <c r="K8" s="29">
        <v>917171717</v>
      </c>
      <c r="L8" s="32">
        <v>1880000</v>
      </c>
    </row>
    <row r="9" spans="1:13" s="21" customFormat="1" x14ac:dyDescent="0.35">
      <c r="A9" s="29"/>
      <c r="B9" s="30">
        <v>16</v>
      </c>
      <c r="C9" s="31">
        <v>45022</v>
      </c>
      <c r="D9" s="29" t="s">
        <v>67</v>
      </c>
      <c r="E9" s="29" t="s">
        <v>68</v>
      </c>
      <c r="F9" s="31">
        <v>36015</v>
      </c>
      <c r="G9" s="29">
        <v>24</v>
      </c>
      <c r="H9" s="29" t="s">
        <v>13</v>
      </c>
      <c r="I9" s="29" t="s">
        <v>14</v>
      </c>
      <c r="J9" s="29" t="s">
        <v>69</v>
      </c>
      <c r="K9" s="29">
        <v>916161616</v>
      </c>
      <c r="L9" s="32">
        <v>1250000</v>
      </c>
    </row>
    <row r="10" spans="1:13" s="21" customFormat="1" x14ac:dyDescent="0.35">
      <c r="A10" s="29"/>
      <c r="B10" s="30">
        <v>15</v>
      </c>
      <c r="C10" s="31">
        <v>45022</v>
      </c>
      <c r="D10" s="29" t="s">
        <v>64</v>
      </c>
      <c r="E10" s="29" t="s">
        <v>65</v>
      </c>
      <c r="F10" s="31">
        <v>31215</v>
      </c>
      <c r="G10" s="29">
        <v>37</v>
      </c>
      <c r="H10" s="29" t="s">
        <v>13</v>
      </c>
      <c r="I10" s="29" t="s">
        <v>15</v>
      </c>
      <c r="J10" s="29" t="s">
        <v>66</v>
      </c>
      <c r="K10" s="29">
        <v>915151515</v>
      </c>
      <c r="L10" s="32">
        <v>1219500</v>
      </c>
    </row>
    <row r="11" spans="1:13" s="21" customFormat="1" x14ac:dyDescent="0.35">
      <c r="A11" s="29"/>
      <c r="B11" s="30">
        <v>14</v>
      </c>
      <c r="C11" s="31">
        <v>45022</v>
      </c>
      <c r="D11" s="29" t="s">
        <v>61</v>
      </c>
      <c r="E11" s="29" t="s">
        <v>62</v>
      </c>
      <c r="F11" s="31">
        <v>26409</v>
      </c>
      <c r="G11" s="29">
        <v>50</v>
      </c>
      <c r="H11" s="29" t="s">
        <v>12</v>
      </c>
      <c r="I11" s="29" t="s">
        <v>15</v>
      </c>
      <c r="J11" s="29" t="s">
        <v>63</v>
      </c>
      <c r="K11" s="29">
        <v>914141414</v>
      </c>
      <c r="L11" s="32">
        <v>2150000</v>
      </c>
    </row>
    <row r="12" spans="1:13" s="21" customFormat="1" x14ac:dyDescent="0.35">
      <c r="A12" s="29"/>
      <c r="B12" s="30">
        <v>13</v>
      </c>
      <c r="C12" s="31">
        <v>45022</v>
      </c>
      <c r="D12" s="29" t="s">
        <v>58</v>
      </c>
      <c r="E12" s="29" t="s">
        <v>59</v>
      </c>
      <c r="F12" s="31">
        <v>36885</v>
      </c>
      <c r="G12" s="29">
        <v>22</v>
      </c>
      <c r="H12" s="29" t="s">
        <v>13</v>
      </c>
      <c r="I12" s="29" t="s">
        <v>14</v>
      </c>
      <c r="J12" s="29" t="s">
        <v>60</v>
      </c>
      <c r="K12" s="29">
        <v>913131313</v>
      </c>
      <c r="L12" s="32">
        <v>1386000</v>
      </c>
    </row>
    <row r="13" spans="1:13" s="21" customFormat="1" x14ac:dyDescent="0.35">
      <c r="A13" s="29"/>
      <c r="B13" s="30">
        <v>12</v>
      </c>
      <c r="C13" s="31">
        <v>45022</v>
      </c>
      <c r="D13" s="29" t="s">
        <v>55</v>
      </c>
      <c r="E13" s="29" t="s">
        <v>56</v>
      </c>
      <c r="F13" s="31">
        <v>27163</v>
      </c>
      <c r="G13" s="29">
        <v>48</v>
      </c>
      <c r="H13" s="29" t="s">
        <v>12</v>
      </c>
      <c r="I13" s="29" t="s">
        <v>14</v>
      </c>
      <c r="J13" s="29" t="s">
        <v>57</v>
      </c>
      <c r="K13" s="29">
        <v>922112211</v>
      </c>
      <c r="L13" s="32">
        <v>1124500</v>
      </c>
    </row>
    <row r="14" spans="1:13" s="21" customFormat="1" x14ac:dyDescent="0.35">
      <c r="A14" s="29"/>
      <c r="B14" s="30">
        <v>11</v>
      </c>
      <c r="C14" s="31">
        <v>45022</v>
      </c>
      <c r="D14" s="29" t="s">
        <v>52</v>
      </c>
      <c r="E14" s="29" t="s">
        <v>53</v>
      </c>
      <c r="F14" s="31">
        <v>31309</v>
      </c>
      <c r="G14" s="29">
        <v>37</v>
      </c>
      <c r="H14" s="29" t="s">
        <v>13</v>
      </c>
      <c r="I14" s="29" t="s">
        <v>16</v>
      </c>
      <c r="J14" s="29" t="s">
        <v>54</v>
      </c>
      <c r="K14" s="29">
        <v>911221122</v>
      </c>
      <c r="L14" s="32">
        <v>1773000</v>
      </c>
    </row>
    <row r="15" spans="1:13" s="21" customFormat="1" x14ac:dyDescent="0.35">
      <c r="A15" s="29"/>
      <c r="B15" s="30">
        <v>10</v>
      </c>
      <c r="C15" s="31">
        <v>45022</v>
      </c>
      <c r="D15" s="29" t="s">
        <v>49</v>
      </c>
      <c r="E15" s="29" t="s">
        <v>50</v>
      </c>
      <c r="F15" s="31">
        <v>26808</v>
      </c>
      <c r="G15" s="29">
        <v>49</v>
      </c>
      <c r="H15" s="29" t="s">
        <v>12</v>
      </c>
      <c r="I15" s="29" t="s">
        <v>15</v>
      </c>
      <c r="J15" s="29" t="s">
        <v>51</v>
      </c>
      <c r="K15" s="29">
        <v>910101010</v>
      </c>
      <c r="L15" s="32">
        <v>2715000</v>
      </c>
    </row>
    <row r="16" spans="1:13" s="21" customFormat="1" x14ac:dyDescent="0.35">
      <c r="A16" s="29"/>
      <c r="B16" s="30">
        <v>9</v>
      </c>
      <c r="C16" s="31">
        <v>45022</v>
      </c>
      <c r="D16" s="29" t="s">
        <v>46</v>
      </c>
      <c r="E16" s="29" t="s">
        <v>47</v>
      </c>
      <c r="F16" s="31">
        <v>36776</v>
      </c>
      <c r="G16" s="29">
        <v>22</v>
      </c>
      <c r="H16" s="29" t="s">
        <v>13</v>
      </c>
      <c r="I16" s="29" t="s">
        <v>14</v>
      </c>
      <c r="J16" s="29" t="s">
        <v>48</v>
      </c>
      <c r="K16" s="29">
        <v>999999999</v>
      </c>
      <c r="L16" s="32">
        <v>1120000</v>
      </c>
    </row>
    <row r="17" spans="1:12" s="21" customFormat="1" x14ac:dyDescent="0.35">
      <c r="A17" s="29"/>
      <c r="B17" s="30">
        <v>8</v>
      </c>
      <c r="C17" s="31">
        <v>45022</v>
      </c>
      <c r="D17" s="29" t="s">
        <v>43</v>
      </c>
      <c r="E17" s="29" t="s">
        <v>44</v>
      </c>
      <c r="F17" s="31">
        <v>29376</v>
      </c>
      <c r="G17" s="29">
        <v>42</v>
      </c>
      <c r="H17" s="29" t="s">
        <v>13</v>
      </c>
      <c r="I17" s="29" t="s">
        <v>16</v>
      </c>
      <c r="J17" s="29" t="s">
        <v>45</v>
      </c>
      <c r="K17" s="29">
        <v>988888888</v>
      </c>
      <c r="L17" s="32">
        <v>2810000</v>
      </c>
    </row>
    <row r="18" spans="1:12" s="21" customFormat="1" x14ac:dyDescent="0.35">
      <c r="A18" s="29"/>
      <c r="B18" s="30">
        <v>7</v>
      </c>
      <c r="C18" s="31">
        <v>45022</v>
      </c>
      <c r="D18" s="29" t="s">
        <v>40</v>
      </c>
      <c r="E18" s="29" t="s">
        <v>41</v>
      </c>
      <c r="F18" s="31">
        <v>32488</v>
      </c>
      <c r="G18" s="29">
        <v>34</v>
      </c>
      <c r="H18" s="29" t="s">
        <v>12</v>
      </c>
      <c r="I18" s="29" t="s">
        <v>15</v>
      </c>
      <c r="J18" s="29" t="s">
        <v>42</v>
      </c>
      <c r="K18" s="29">
        <v>977777777</v>
      </c>
      <c r="L18" s="32">
        <v>2643000</v>
      </c>
    </row>
    <row r="19" spans="1:12" s="21" customFormat="1" x14ac:dyDescent="0.35">
      <c r="A19" s="29"/>
      <c r="B19" s="30">
        <v>6</v>
      </c>
      <c r="C19" s="31">
        <v>45022</v>
      </c>
      <c r="D19" s="29" t="s">
        <v>22</v>
      </c>
      <c r="E19" s="29" t="s">
        <v>38</v>
      </c>
      <c r="F19" s="31">
        <v>32313</v>
      </c>
      <c r="G19" s="29">
        <v>34</v>
      </c>
      <c r="H19" s="29" t="s">
        <v>12</v>
      </c>
      <c r="I19" s="29" t="s">
        <v>14</v>
      </c>
      <c r="J19" s="29" t="s">
        <v>39</v>
      </c>
      <c r="K19" s="29">
        <v>966666666</v>
      </c>
      <c r="L19" s="32">
        <v>1230000</v>
      </c>
    </row>
    <row r="20" spans="1:12" s="21" customFormat="1" x14ac:dyDescent="0.35">
      <c r="A20" s="29"/>
      <c r="B20" s="30">
        <v>5</v>
      </c>
      <c r="C20" s="31">
        <v>45022</v>
      </c>
      <c r="D20" s="29" t="s">
        <v>35</v>
      </c>
      <c r="E20" s="29" t="s">
        <v>36</v>
      </c>
      <c r="F20" s="31">
        <v>30291</v>
      </c>
      <c r="G20" s="29">
        <v>40</v>
      </c>
      <c r="H20" s="29" t="s">
        <v>12</v>
      </c>
      <c r="I20" s="29" t="s">
        <v>15</v>
      </c>
      <c r="J20" s="29" t="s">
        <v>37</v>
      </c>
      <c r="K20" s="29">
        <v>955555555</v>
      </c>
      <c r="L20" s="32">
        <v>3250000</v>
      </c>
    </row>
    <row r="21" spans="1:12" s="21" customFormat="1" x14ac:dyDescent="0.35">
      <c r="A21" s="29"/>
      <c r="B21" s="30">
        <v>4</v>
      </c>
      <c r="C21" s="31">
        <v>45022</v>
      </c>
      <c r="D21" s="29" t="s">
        <v>32</v>
      </c>
      <c r="E21" s="29" t="s">
        <v>33</v>
      </c>
      <c r="F21" s="31">
        <v>27626</v>
      </c>
      <c r="G21" s="29">
        <v>47</v>
      </c>
      <c r="H21" s="29" t="s">
        <v>13</v>
      </c>
      <c r="I21" s="29" t="s">
        <v>15</v>
      </c>
      <c r="J21" s="29" t="s">
        <v>34</v>
      </c>
      <c r="K21" s="29">
        <v>944444444</v>
      </c>
      <c r="L21" s="32">
        <v>1980000</v>
      </c>
    </row>
    <row r="22" spans="1:12" s="21" customFormat="1" x14ac:dyDescent="0.35">
      <c r="A22" s="29"/>
      <c r="B22" s="30">
        <v>3</v>
      </c>
      <c r="C22" s="31">
        <v>45022</v>
      </c>
      <c r="D22" s="29" t="s">
        <v>29</v>
      </c>
      <c r="E22" s="29" t="s">
        <v>30</v>
      </c>
      <c r="F22" s="31">
        <v>30372</v>
      </c>
      <c r="G22" s="29">
        <v>40</v>
      </c>
      <c r="H22" s="29" t="s">
        <v>13</v>
      </c>
      <c r="I22" s="29" t="s">
        <v>14</v>
      </c>
      <c r="J22" s="29" t="s">
        <v>31</v>
      </c>
      <c r="K22" s="29">
        <v>933333333</v>
      </c>
      <c r="L22" s="32">
        <v>1450000</v>
      </c>
    </row>
    <row r="23" spans="1:12" s="21" customFormat="1" x14ac:dyDescent="0.35">
      <c r="A23" s="29"/>
      <c r="B23" s="30">
        <v>2</v>
      </c>
      <c r="C23" s="31">
        <v>45022</v>
      </c>
      <c r="D23" s="29" t="s">
        <v>26</v>
      </c>
      <c r="E23" s="29" t="s">
        <v>27</v>
      </c>
      <c r="F23" s="31">
        <v>28312</v>
      </c>
      <c r="G23" s="29">
        <v>45</v>
      </c>
      <c r="H23" s="29" t="s">
        <v>12</v>
      </c>
      <c r="I23" s="29" t="s">
        <v>15</v>
      </c>
      <c r="J23" s="29" t="s">
        <v>28</v>
      </c>
      <c r="K23" s="29">
        <v>922222222</v>
      </c>
      <c r="L23" s="32">
        <v>1450000</v>
      </c>
    </row>
    <row r="24" spans="1:12" s="25" customFormat="1" x14ac:dyDescent="0.35">
      <c r="B24" s="26">
        <v>1</v>
      </c>
      <c r="C24" s="27">
        <v>45022</v>
      </c>
      <c r="D24" s="25" t="s">
        <v>23</v>
      </c>
      <c r="E24" s="25" t="s">
        <v>24</v>
      </c>
      <c r="F24" s="27">
        <v>26819</v>
      </c>
      <c r="G24" s="25">
        <v>49</v>
      </c>
      <c r="H24" s="25" t="s">
        <v>13</v>
      </c>
      <c r="I24" s="25" t="s">
        <v>15</v>
      </c>
      <c r="J24" s="25" t="s">
        <v>25</v>
      </c>
      <c r="K24" s="25">
        <v>911111111</v>
      </c>
      <c r="L24" s="28">
        <v>1865320</v>
      </c>
    </row>
    <row r="25" spans="1:12" ht="15" thickBot="1" x14ac:dyDescent="0.4"/>
    <row r="26" spans="1:12" ht="15" thickBot="1" x14ac:dyDescent="0.4">
      <c r="K26" s="33" t="s">
        <v>82</v>
      </c>
      <c r="L26" s="34">
        <f>SUBTOTAL(9,Tabla2[Sueldo])</f>
        <v>41772820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77DCA-F5DD-4A92-8CF0-9C81F88CE45B}">
  <sheetPr codeName="Hoja2"/>
  <dimension ref="A1:B5"/>
  <sheetViews>
    <sheetView workbookViewId="0">
      <selection activeCell="B6" sqref="B6"/>
    </sheetView>
  </sheetViews>
  <sheetFormatPr baseColWidth="10" defaultRowHeight="14.5" x14ac:dyDescent="0.35"/>
  <sheetData>
    <row r="1" spans="1:2" x14ac:dyDescent="0.35">
      <c r="A1" t="s">
        <v>7</v>
      </c>
      <c r="B1" t="s">
        <v>8</v>
      </c>
    </row>
    <row r="2" spans="1:2" x14ac:dyDescent="0.35">
      <c r="A2" t="s">
        <v>12</v>
      </c>
      <c r="B2" t="s">
        <v>14</v>
      </c>
    </row>
    <row r="3" spans="1:2" x14ac:dyDescent="0.35">
      <c r="A3" t="s">
        <v>13</v>
      </c>
      <c r="B3" t="s">
        <v>15</v>
      </c>
    </row>
    <row r="4" spans="1:2" x14ac:dyDescent="0.35">
      <c r="B4" t="s">
        <v>16</v>
      </c>
    </row>
    <row r="5" spans="1:2" x14ac:dyDescent="0.35">
      <c r="B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Formulario</vt:lpstr>
      <vt:lpstr>Datos</vt:lpstr>
      <vt:lpstr>Hoja2</vt:lpstr>
      <vt:lpstr>Dato1</vt:lpstr>
      <vt:lpstr>Dato2</vt:lpstr>
      <vt:lpstr>Dato3</vt:lpstr>
      <vt:lpstr>Dato4</vt:lpstr>
      <vt:lpstr>Dato5</vt:lpstr>
      <vt:lpstr>Dato6</vt:lpstr>
      <vt:lpstr>Dato7</vt:lpstr>
      <vt:lpstr>Dato8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María Loreto Astudillo</dc:creator>
  <cp:lastModifiedBy>María Loreto Astudillo</cp:lastModifiedBy>
  <dcterms:created xsi:type="dcterms:W3CDTF">2023-04-06T01:54:48Z</dcterms:created>
  <dcterms:modified xsi:type="dcterms:W3CDTF">2023-04-06T23:40:05Z</dcterms:modified>
</cp:coreProperties>
</file>